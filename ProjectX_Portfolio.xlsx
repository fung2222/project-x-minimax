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Daily Tracker" sheetId="2" state="visible" r:id="rId2"/>
    <sheet name="Macro Dashboard" sheetId="3" state="visible" r:id="rId3"/>
    <sheet name="Analyst Signals" sheetId="4" state="visible" r:id="rId4"/>
    <sheet name="Strategy 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;(#$,##0);&quot;-&quot;"/>
    <numFmt numFmtId="166" formatCode="$#,##0.00"/>
    <numFmt numFmtId="167" formatCode="$#,##0.00;(#$,##0.00);&quot;-&quot;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FFFFFF"/>
      <sz val="11"/>
    </font>
    <font>
      <name val="Calibri"/>
      <color rgb="000000FF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4"/>
    </font>
    <font>
      <name val="Calibri"/>
      <i val="1"/>
      <sz val="9"/>
    </font>
    <font>
      <name val="Calibri"/>
      <b val="1"/>
      <sz val="10"/>
    </font>
    <font>
      <name val="Calibri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2D4A7A"/>
      </patternFill>
    </fill>
    <fill>
      <patternFill patternType="solid">
        <fgColor rgb="00F2F4F7"/>
      </patternFill>
    </fill>
    <fill>
      <patternFill patternType="solid">
        <fgColor rgb="00D8DCE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pivotButton="0" quotePrefix="0" xfId="0"/>
    <xf numFmtId="164" fontId="4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3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4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5" borderId="1" pivotButton="0" quotePrefix="0" xfId="0"/>
    <xf numFmtId="0" fontId="5" fillId="2" borderId="1" applyAlignment="1" pivotButton="0" quotePrefix="0" xfId="0">
      <alignment horizontal="right"/>
    </xf>
    <xf numFmtId="0" fontId="0" fillId="0" borderId="1" pivotButton="0" quotePrefix="0" xfId="0"/>
    <xf numFmtId="164" fontId="5" fillId="2" borderId="1" pivotButton="0" quotePrefix="0" xfId="0"/>
    <xf numFmtId="165" fontId="5" fillId="2" borderId="1" pivotButton="0" quotePrefix="0" xfId="0"/>
    <xf numFmtId="10" fontId="5" fillId="2" borderId="1" pivotButton="0" quotePrefix="0" xfId="0"/>
    <xf numFmtId="0" fontId="8" fillId="2" borderId="0" applyAlignment="1" pivotButton="0" quotePrefix="0" xfId="0">
      <alignment horizontal="center" vertical="center"/>
    </xf>
    <xf numFmtId="0" fontId="9" fillId="4" borderId="0" pivotButton="0" quotePrefix="0" xfId="0"/>
    <xf numFmtId="0" fontId="10" fillId="0" borderId="1" pivotButton="0" quotePrefix="0" xfId="0"/>
    <xf numFmtId="166" fontId="4" fillId="4" borderId="1" pivotButton="0" quotePrefix="0" xfId="0"/>
    <xf numFmtId="167" fontId="0" fillId="0" borderId="1" pivotButton="0" quotePrefix="0" xfId="0"/>
    <xf numFmtId="10" fontId="0" fillId="0" borderId="1" pivotButton="0" quotePrefix="0" xfId="0"/>
    <xf numFmtId="0" fontId="4" fillId="0" borderId="1" pivotButton="0" quotePrefix="0" xfId="0"/>
    <xf numFmtId="166" fontId="4" fillId="0" borderId="1" pivotButton="0" quotePrefix="0" xfId="0"/>
    <xf numFmtId="0" fontId="9" fillId="3" borderId="0" pivotButton="0" quotePrefix="0" xfId="0"/>
    <xf numFmtId="0" fontId="5" fillId="3" borderId="1" pivotButton="0" quotePrefix="0" xfId="0"/>
    <xf numFmtId="0" fontId="11" fillId="0" borderId="1" pivotButton="0" quotePrefix="0" xfId="0"/>
    <xf numFmtId="0" fontId="7" fillId="4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4" borderId="1" pivotButton="0" quotePrefix="0" xfId="0"/>
    <xf numFmtId="0" fontId="3" fillId="3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top" wrapText="1" inden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12" customWidth="1" min="4" max="4"/>
    <col width="11" customWidth="1" min="5" max="5"/>
    <col width="12" customWidth="1" min="6" max="6"/>
    <col width="13" customWidth="1" min="7" max="7"/>
    <col width="12" customWidth="1" min="8" max="8"/>
    <col width="10" customWidth="1" min="9" max="9"/>
    <col width="14" customWidth="1" min="10" max="10"/>
    <col width="13" customWidth="1" min="11" max="11"/>
    <col width="40" customWidth="1" min="12" max="12"/>
  </cols>
  <sheetData>
    <row r="1" ht="36" customHeight="1">
      <c r="A1" s="1" t="inlineStr">
        <is>
          <t>📊  PROJECT X  –  SIMULATED PORTFOLIO OVERVIEW</t>
        </is>
      </c>
    </row>
    <row r="2" ht="20" customHeight="1">
      <c r="A2" s="2" t="inlineStr">
        <is>
          <t xml:space="preserve">  📅  Started: 2025-07-05  |  🔧 Platform: Futu (富途牛牛)  |  🎯 Strategy: AI &amp; Tech Growth  |  ⚠️ For education only – not financial advice</t>
        </is>
      </c>
    </row>
    <row r="3" ht="8" customHeight="1"/>
    <row r="4" ht="22" customHeight="1">
      <c r="A4" s="3" t="inlineStr">
        <is>
          <t>💰 SIMULATED ACCOUNT</t>
        </is>
      </c>
    </row>
    <row r="5">
      <c r="A5" t="inlineStr">
        <is>
          <t>Starting Capital (USD)</t>
        </is>
      </c>
      <c r="B5" s="4" t="n">
        <v>100000</v>
      </c>
    </row>
    <row r="6">
      <c r="A6" t="inlineStr">
        <is>
          <t>Today's Date</t>
        </is>
      </c>
      <c r="B6" s="5" t="inlineStr">
        <is>
          <t>2026-07-05</t>
        </is>
      </c>
    </row>
    <row r="7">
      <c r="A7" t="inlineStr">
        <is>
          <t>Portfolio Value</t>
        </is>
      </c>
      <c r="B7" s="6">
        <f>G22</f>
        <v/>
      </c>
    </row>
    <row r="8">
      <c r="A8" t="inlineStr">
        <is>
          <t>Total P&amp;L ($)</t>
        </is>
      </c>
      <c r="B8" s="7">
        <f>B7-B5</f>
        <v/>
      </c>
    </row>
    <row r="9">
      <c r="A9" t="inlineStr">
        <is>
          <t>Total Return (%)</t>
        </is>
      </c>
      <c r="B9" s="8">
        <f>IFERROR((B7-B5)/B5,0)</f>
        <v/>
      </c>
    </row>
    <row r="10">
      <c r="A10" t="inlineStr">
        <is>
          <t>Cash Available</t>
        </is>
      </c>
      <c r="B10" s="6">
        <f>B5-G22</f>
        <v/>
      </c>
    </row>
    <row r="12" ht="22" customHeight="1">
      <c r="A12" s="9" t="inlineStr">
        <is>
          <t>🔭  STOCK WATCH LIST  –  AI &amp; TECH FOCUS</t>
        </is>
      </c>
    </row>
    <row r="13" ht="28" customHeight="1">
      <c r="A13" s="10" t="inlineStr">
        <is>
          <t>Ticker</t>
        </is>
      </c>
      <c r="B13" s="10" t="inlineStr">
        <is>
          <t>Company</t>
        </is>
      </c>
      <c r="C13" s="10" t="inlineStr">
        <is>
          <t>Sector</t>
        </is>
      </c>
      <c r="D13" s="10" t="inlineStr">
        <is>
          <t>Curr. Price</t>
        </is>
      </c>
      <c r="E13" s="10" t="inlineStr">
        <is>
          <t>Qty (Sim)</t>
        </is>
      </c>
      <c r="F13" s="10" t="inlineStr">
        <is>
          <t>Cost Basis</t>
        </is>
      </c>
      <c r="G13" s="10" t="inlineStr">
        <is>
          <t>Mkt Value</t>
        </is>
      </c>
      <c r="H13" s="10" t="inlineStr">
        <is>
          <t>P&amp;L ($)</t>
        </is>
      </c>
      <c r="I13" s="10" t="inlineStr">
        <is>
          <t>P&amp;L (%)</t>
        </is>
      </c>
      <c r="J13" s="10" t="inlineStr">
        <is>
          <t>Analyst Rating</t>
        </is>
      </c>
      <c r="K13" s="10" t="inlineStr">
        <is>
          <t>Target Price</t>
        </is>
      </c>
      <c r="L13" s="10" t="inlineStr">
        <is>
          <t>Notes</t>
        </is>
      </c>
    </row>
    <row r="14" ht="20" customHeight="1">
      <c r="A14" s="11" t="inlineStr">
        <is>
          <t>NVDA</t>
        </is>
      </c>
      <c r="B14" s="12" t="inlineStr">
        <is>
          <t>NVIDIA</t>
        </is>
      </c>
      <c r="C14" s="12" t="inlineStr">
        <is>
          <t>AI/Hardware</t>
        </is>
      </c>
      <c r="D14" s="13" t="n">
        <v>194.44</v>
      </c>
      <c r="E14" s="13" t="n">
        <v>50</v>
      </c>
      <c r="F14" s="13" t="n">
        <v>120</v>
      </c>
      <c r="G14" s="14">
        <f>D14*E14</f>
        <v/>
      </c>
      <c r="H14" s="15">
        <f>(D14-F14)*E14</f>
        <v/>
      </c>
      <c r="I14" s="16">
        <f>IFERROR((D14-F14)/F14,0)</f>
        <v/>
      </c>
      <c r="J14" s="12" t="inlineStr">
        <is>
          <t>Buy</t>
        </is>
      </c>
      <c r="K14" s="13" t="n">
        <v>200</v>
      </c>
      <c r="L14" s="12" t="inlineStr">
        <is>
          <t>AI GPU leader; Blackwell ramp-up</t>
        </is>
      </c>
    </row>
    <row r="15" ht="20" customHeight="1">
      <c r="A15" s="11" t="inlineStr">
        <is>
          <t>AMD</t>
        </is>
      </c>
      <c r="B15" s="12" t="inlineStr">
        <is>
          <t>Advanced Micro Devices</t>
        </is>
      </c>
      <c r="C15" s="12" t="inlineStr">
        <is>
          <t>AI/Hardware</t>
        </is>
      </c>
      <c r="D15" s="13" t="n">
        <v>278</v>
      </c>
      <c r="E15" s="13" t="n">
        <v>100</v>
      </c>
      <c r="F15" s="13" t="n">
        <v>115</v>
      </c>
      <c r="G15" s="14">
        <f>D15*E15</f>
        <v/>
      </c>
      <c r="H15" s="15">
        <f>(D15-F15)*E15</f>
        <v/>
      </c>
      <c r="I15" s="16">
        <f>IFERROR((D15-F15)/F15,0)</f>
        <v/>
      </c>
      <c r="J15" s="12" t="inlineStr">
        <is>
          <t>Buy</t>
        </is>
      </c>
      <c r="K15" s="13" t="n">
        <v>185</v>
      </c>
      <c r="L15" s="12" t="inlineStr">
        <is>
          <t>MI350/400 competitive vs NVDA</t>
        </is>
      </c>
    </row>
    <row r="16" ht="20" customHeight="1">
      <c r="A16" s="11" t="inlineStr">
        <is>
          <t>MSFT</t>
        </is>
      </c>
      <c r="B16" s="12" t="inlineStr">
        <is>
          <t>Microsoft</t>
        </is>
      </c>
      <c r="C16" s="12" t="inlineStr">
        <is>
          <t>AI/Cloud</t>
        </is>
      </c>
      <c r="D16" s="13" t="n">
        <v>390</v>
      </c>
      <c r="E16" s="13" t="n">
        <v>30</v>
      </c>
      <c r="F16" s="13" t="n">
        <v>380</v>
      </c>
      <c r="G16" s="14">
        <f>D16*E16</f>
        <v/>
      </c>
      <c r="H16" s="15">
        <f>(D16-F16)*E16</f>
        <v/>
      </c>
      <c r="I16" s="16">
        <f>IFERROR((D16-F16)/F16,0)</f>
        <v/>
      </c>
      <c r="J16" s="12" t="inlineStr">
        <is>
          <t>Buy</t>
        </is>
      </c>
      <c r="K16" s="13" t="n">
        <v>520</v>
      </c>
      <c r="L16" s="12" t="inlineStr">
        <is>
          <t>Azure AI momentum; Copilot revenue</t>
        </is>
      </c>
    </row>
    <row r="17" ht="20" customHeight="1">
      <c r="A17" s="11" t="inlineStr">
        <is>
          <t>GOOGL</t>
        </is>
      </c>
      <c r="B17" s="12" t="inlineStr">
        <is>
          <t>Alphabet/Google</t>
        </is>
      </c>
      <c r="C17" s="12" t="inlineStr">
        <is>
          <t>AI/Search</t>
        </is>
      </c>
      <c r="D17" s="13" t="n">
        <v>185</v>
      </c>
      <c r="E17" s="13" t="n">
        <v>40</v>
      </c>
      <c r="F17" s="13" t="n">
        <v>170</v>
      </c>
      <c r="G17" s="14">
        <f>D17*E17</f>
        <v/>
      </c>
      <c r="H17" s="15">
        <f>(D17-F17)*E17</f>
        <v/>
      </c>
      <c r="I17" s="16">
        <f>IFERROR((D17-F17)/F17,0)</f>
        <v/>
      </c>
      <c r="J17" s="12" t="inlineStr">
        <is>
          <t>Hold</t>
        </is>
      </c>
      <c r="K17" s="13" t="n">
        <v>210</v>
      </c>
      <c r="L17" s="12" t="inlineStr">
        <is>
          <t>AI search risk; Cloud strong +28%</t>
        </is>
      </c>
    </row>
    <row r="18" ht="20" customHeight="1">
      <c r="A18" s="11" t="inlineStr">
        <is>
          <t>META</t>
        </is>
      </c>
      <c r="B18" s="12" t="inlineStr">
        <is>
          <t>Meta Platforms</t>
        </is>
      </c>
      <c r="C18" s="12" t="inlineStr">
        <is>
          <t>AI/Social</t>
        </is>
      </c>
      <c r="D18" s="13" t="n">
        <v>563</v>
      </c>
      <c r="E18" s="13" t="n">
        <v>20</v>
      </c>
      <c r="F18" s="13" t="n">
        <v>470</v>
      </c>
      <c r="G18" s="14">
        <f>D18*E18</f>
        <v/>
      </c>
      <c r="H18" s="15">
        <f>(D18-F18)*E18</f>
        <v/>
      </c>
      <c r="I18" s="16">
        <f>IFERROR((D18-F18)/F18,0)</f>
        <v/>
      </c>
      <c r="J18" s="12" t="inlineStr">
        <is>
          <t>Buy</t>
        </is>
      </c>
      <c r="K18" s="13" t="n">
        <v>650</v>
      </c>
      <c r="L18" s="12" t="inlineStr">
        <is>
          <t>AI ad targeting; Llama ecosystem</t>
        </is>
      </c>
    </row>
    <row r="19" ht="20" customHeight="1">
      <c r="A19" s="11" t="inlineStr">
        <is>
          <t>AMZN</t>
        </is>
      </c>
      <c r="B19" s="12" t="inlineStr">
        <is>
          <t>Amazon</t>
        </is>
      </c>
      <c r="C19" s="12" t="inlineStr">
        <is>
          <t>AI/Cloud/E-comm</t>
        </is>
      </c>
      <c r="D19" s="13" t="n">
        <v>190</v>
      </c>
      <c r="E19" s="13" t="n">
        <v>40</v>
      </c>
      <c r="F19" s="13" t="n">
        <v>175</v>
      </c>
      <c r="G19" s="14">
        <f>D19*E19</f>
        <v/>
      </c>
      <c r="H19" s="15">
        <f>(D19-F19)*E19</f>
        <v/>
      </c>
      <c r="I19" s="16">
        <f>IFERROR((D19-F19)/F19,0)</f>
        <v/>
      </c>
      <c r="J19" s="12" t="inlineStr">
        <is>
          <t>Buy</t>
        </is>
      </c>
      <c r="K19" s="13" t="n">
        <v>240</v>
      </c>
      <c r="L19" s="12" t="inlineStr">
        <is>
          <t>AWS AI services;广告增长</t>
        </is>
      </c>
    </row>
    <row r="20" ht="20" customHeight="1">
      <c r="A20" s="11" t="inlineStr">
        <is>
          <t>PLTR</t>
        </is>
      </c>
      <c r="B20" s="12" t="inlineStr">
        <is>
          <t>Palantir</t>
        </is>
      </c>
      <c r="C20" s="12" t="inlineStr">
        <is>
          <t>AI/Defense</t>
        </is>
      </c>
      <c r="D20" s="13" t="n">
        <v>135</v>
      </c>
      <c r="E20" s="13" t="n">
        <v>60</v>
      </c>
      <c r="F20" s="13" t="n">
        <v>80</v>
      </c>
      <c r="G20" s="14">
        <f>D20*E20</f>
        <v/>
      </c>
      <c r="H20" s="15">
        <f>(D20-F20)*E20</f>
        <v/>
      </c>
      <c r="I20" s="16">
        <f>IFERROR((D20-F20)/F20,0)</f>
        <v/>
      </c>
      <c r="J20" s="12" t="inlineStr">
        <is>
          <t>Buy</t>
        </is>
      </c>
      <c r="K20" s="13" t="n">
        <v>160</v>
      </c>
      <c r="L20" s="12" t="inlineStr">
        <is>
          <t>AIP platform; US Navy contract</t>
        </is>
      </c>
    </row>
    <row r="21" ht="20" customHeight="1">
      <c r="A21" s="11" t="inlineStr">
        <is>
          <t>ARM</t>
        </is>
      </c>
      <c r="B21" s="12" t="inlineStr">
        <is>
          <t>Arm Holdings</t>
        </is>
      </c>
      <c r="C21" s="12" t="inlineStr">
        <is>
          <t>AI/Design</t>
        </is>
      </c>
      <c r="D21" s="13" t="n">
        <v>140</v>
      </c>
      <c r="E21" s="13" t="n">
        <v>80</v>
      </c>
      <c r="F21" s="13" t="n">
        <v>125</v>
      </c>
      <c r="G21" s="14">
        <f>D21*E21</f>
        <v/>
      </c>
      <c r="H21" s="15">
        <f>(D21-F21)*E21</f>
        <v/>
      </c>
      <c r="I21" s="16">
        <f>IFERROR((D21-F21)/F21,0)</f>
        <v/>
      </c>
      <c r="J21" s="12" t="inlineStr">
        <is>
          <t>Hold</t>
        </is>
      </c>
      <c r="K21" s="13" t="n">
        <v>180</v>
      </c>
      <c r="L21" s="12" t="inlineStr">
        <is>
          <t>IP licensing; AI on-device</t>
        </is>
      </c>
    </row>
    <row r="22">
      <c r="A22" s="17" t="inlineStr">
        <is>
          <t>PORTFOLIO TOTAL</t>
        </is>
      </c>
      <c r="B22" s="38" t="n"/>
      <c r="C22" s="38" t="n"/>
      <c r="D22" s="38" t="n"/>
      <c r="E22" s="38" t="n"/>
      <c r="F22" s="39" t="n"/>
      <c r="G22" s="19">
        <f>SUM(G14:G21)</f>
        <v/>
      </c>
      <c r="H22" s="20">
        <f>SUM(H14:H21)</f>
        <v/>
      </c>
      <c r="I22" s="21">
        <f>IFERROR((G22-SUM(F14:F21))/SUM(F14:F21),0)</f>
        <v/>
      </c>
      <c r="J22" s="18" t="n"/>
      <c r="K22" s="18" t="n"/>
      <c r="L22" s="18" t="n"/>
    </row>
  </sheetData>
  <mergeCells count="5">
    <mergeCell ref="A2:L2"/>
    <mergeCell ref="A1:L1"/>
    <mergeCell ref="A22:F22"/>
    <mergeCell ref="A4:C4"/>
    <mergeCell ref="A12:L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0" customWidth="1" min="5" max="5"/>
    <col width="10" customWidth="1" min="6" max="6"/>
    <col width="7" customWidth="1" min="7" max="7"/>
    <col width="12" customWidth="1" min="8" max="8"/>
    <col width="12" customWidth="1" min="9" max="9"/>
    <col width="10" customWidth="1" min="10" max="10"/>
    <col width="11" customWidth="1" min="11" max="11"/>
    <col width="11" customWidth="1" min="12" max="12"/>
    <col width="30" customWidth="1" min="13" max="13"/>
  </cols>
  <sheetData>
    <row r="1" ht="36" customHeight="1">
      <c r="A1" s="22" t="inlineStr">
        <is>
          <t>📅  DAILY PERFORMANCE TRACKER  –  LOG EVERY TRADING DAY</t>
        </is>
      </c>
    </row>
    <row r="2" ht="18" customHeight="1">
      <c r="A2" s="23" t="inlineStr">
        <is>
          <t xml:space="preserve">  Fill in 'Price' (blue cells) daily. Yellow = action needed. Green = strong signal. Red = warning.</t>
        </is>
      </c>
    </row>
    <row r="3" ht="8" customHeight="1"/>
    <row r="4" ht="28" customHeight="1">
      <c r="A4" s="10" t="inlineStr">
        <is>
          <t>Date</t>
        </is>
      </c>
      <c r="B4" s="10" t="inlineStr">
        <is>
          <t>Ticker</t>
        </is>
      </c>
      <c r="C4" s="10" t="inlineStr">
        <is>
          <t>Curr. Price</t>
        </is>
      </c>
      <c r="D4" s="10" t="inlineStr">
        <is>
          <t>Prev. Price</t>
        </is>
      </c>
      <c r="E4" s="10" t="inlineStr">
        <is>
          <t>$ Change</t>
        </is>
      </c>
      <c r="F4" s="10" t="inlineStr">
        <is>
          <t>% Change</t>
        </is>
      </c>
      <c r="G4" s="10" t="inlineStr">
        <is>
          <t>Qty</t>
        </is>
      </c>
      <c r="H4" s="10" t="inlineStr">
        <is>
          <t>Mkt Value</t>
        </is>
      </c>
      <c r="I4" s="10" t="inlineStr">
        <is>
          <t>Sim. Action</t>
        </is>
      </c>
      <c r="J4" s="10" t="inlineStr">
        <is>
          <t>Qty Traded</t>
        </is>
      </c>
      <c r="K4" s="10" t="inlineStr">
        <is>
          <t>Exec Price</t>
        </is>
      </c>
      <c r="L4" s="10" t="inlineStr">
        <is>
          <t>Brokerage</t>
        </is>
      </c>
      <c r="M4" s="10" t="inlineStr">
        <is>
          <t>Notes / Signal</t>
        </is>
      </c>
    </row>
    <row r="5" ht="18" customHeight="1">
      <c r="A5" s="12" t="inlineStr">
        <is>
          <t>2025-07-05</t>
        </is>
      </c>
      <c r="B5" s="24" t="inlineStr">
        <is>
          <t>NVDA</t>
        </is>
      </c>
      <c r="C5" s="25" t="n">
        <v>140</v>
      </c>
      <c r="D5" s="12">
        <f>C5</f>
        <v/>
      </c>
      <c r="E5" s="26">
        <f>C5-D5</f>
        <v/>
      </c>
      <c r="F5" s="27">
        <f>IFERROR((C5-D5)/D5,0)</f>
        <v/>
      </c>
      <c r="G5" s="28">
        <f>C5*1</f>
        <v/>
      </c>
      <c r="H5" s="14">
        <f>C5*G5</f>
        <v/>
      </c>
      <c r="I5" s="12" t="inlineStr">
        <is>
          <t>Watch</t>
        </is>
      </c>
      <c r="J5" s="28" t="inlineStr"/>
      <c r="K5" s="29" t="n">
        <v>0</v>
      </c>
      <c r="L5" s="29" t="inlineStr"/>
      <c r="M5" s="12" t="inlineStr"/>
    </row>
    <row r="6" ht="18" customHeight="1">
      <c r="A6" s="12" t="inlineStr">
        <is>
          <t>2025-07-05</t>
        </is>
      </c>
      <c r="B6" s="24" t="inlineStr">
        <is>
          <t>AMD</t>
        </is>
      </c>
      <c r="C6" s="25" t="n">
        <v>130</v>
      </c>
      <c r="D6" s="12">
        <f>C6</f>
        <v/>
      </c>
      <c r="E6" s="26">
        <f>C6-D6</f>
        <v/>
      </c>
      <c r="F6" s="27">
        <f>IFERROR((C6-D6)/D6,0)</f>
        <v/>
      </c>
      <c r="G6" s="28">
        <f>C6*1</f>
        <v/>
      </c>
      <c r="H6" s="14">
        <f>C6*G6</f>
        <v/>
      </c>
      <c r="I6" s="12" t="inlineStr">
        <is>
          <t>Watch</t>
        </is>
      </c>
      <c r="J6" s="28" t="inlineStr"/>
      <c r="K6" s="29" t="n">
        <v>0</v>
      </c>
      <c r="L6" s="29" t="inlineStr"/>
      <c r="M6" s="12" t="inlineStr"/>
    </row>
    <row r="7" ht="18" customHeight="1">
      <c r="A7" s="12" t="inlineStr">
        <is>
          <t>2025-07-05</t>
        </is>
      </c>
      <c r="B7" s="24" t="inlineStr">
        <is>
          <t>MSFT</t>
        </is>
      </c>
      <c r="C7" s="25" t="n">
        <v>410</v>
      </c>
      <c r="D7" s="12">
        <f>C7</f>
        <v/>
      </c>
      <c r="E7" s="26">
        <f>C7-D7</f>
        <v/>
      </c>
      <c r="F7" s="27">
        <f>IFERROR((C7-D7)/D7,0)</f>
        <v/>
      </c>
      <c r="G7" s="28">
        <f>C7*1</f>
        <v/>
      </c>
      <c r="H7" s="14">
        <f>C7*G7</f>
        <v/>
      </c>
      <c r="I7" s="12" t="inlineStr">
        <is>
          <t>Watch</t>
        </is>
      </c>
      <c r="J7" s="28" t="inlineStr"/>
      <c r="K7" s="29" t="n">
        <v>0</v>
      </c>
      <c r="L7" s="29" t="inlineStr"/>
      <c r="M7" s="12" t="inlineStr"/>
    </row>
    <row r="8" ht="18" customHeight="1">
      <c r="A8" s="12" t="inlineStr">
        <is>
          <t>2025-07-05</t>
        </is>
      </c>
      <c r="B8" s="24" t="inlineStr">
        <is>
          <t>GOOGL</t>
        </is>
      </c>
      <c r="C8" s="25" t="n">
        <v>185</v>
      </c>
      <c r="D8" s="12">
        <f>C8</f>
        <v/>
      </c>
      <c r="E8" s="26">
        <f>C8-D8</f>
        <v/>
      </c>
      <c r="F8" s="27">
        <f>IFERROR((C8-D8)/D8,0)</f>
        <v/>
      </c>
      <c r="G8" s="28">
        <f>C8*1</f>
        <v/>
      </c>
      <c r="H8" s="14">
        <f>C8*G8</f>
        <v/>
      </c>
      <c r="I8" s="12" t="inlineStr">
        <is>
          <t>Watch</t>
        </is>
      </c>
      <c r="J8" s="28" t="inlineStr"/>
      <c r="K8" s="29" t="n">
        <v>0</v>
      </c>
      <c r="L8" s="29" t="inlineStr"/>
      <c r="M8" s="12" t="inlineStr"/>
    </row>
    <row r="9" ht="18" customHeight="1">
      <c r="A9" s="12" t="inlineStr">
        <is>
          <t>2025-07-05</t>
        </is>
      </c>
      <c r="B9" s="24" t="inlineStr">
        <is>
          <t>META</t>
        </is>
      </c>
      <c r="C9" s="25" t="n">
        <v>520</v>
      </c>
      <c r="D9" s="12">
        <f>C9</f>
        <v/>
      </c>
      <c r="E9" s="26">
        <f>C9-D9</f>
        <v/>
      </c>
      <c r="F9" s="27">
        <f>IFERROR((C9-D9)/D9,0)</f>
        <v/>
      </c>
      <c r="G9" s="28">
        <f>C9*1</f>
        <v/>
      </c>
      <c r="H9" s="14">
        <f>C9*G9</f>
        <v/>
      </c>
      <c r="I9" s="12" t="inlineStr">
        <is>
          <t>Watch</t>
        </is>
      </c>
      <c r="J9" s="28" t="inlineStr"/>
      <c r="K9" s="29" t="n">
        <v>0</v>
      </c>
      <c r="L9" s="29" t="inlineStr"/>
      <c r="M9" s="12" t="inlineStr"/>
    </row>
    <row r="10" ht="18" customHeight="1">
      <c r="A10" s="12" t="inlineStr">
        <is>
          <t>2025-07-05</t>
        </is>
      </c>
      <c r="B10" s="24" t="inlineStr">
        <is>
          <t>AMZN</t>
        </is>
      </c>
      <c r="C10" s="25" t="n">
        <v>190</v>
      </c>
      <c r="D10" s="12">
        <f>C10</f>
        <v/>
      </c>
      <c r="E10" s="26">
        <f>C10-D10</f>
        <v/>
      </c>
      <c r="F10" s="27">
        <f>IFERROR((C10-D10)/D10,0)</f>
        <v/>
      </c>
      <c r="G10" s="28">
        <f>C10*1</f>
        <v/>
      </c>
      <c r="H10" s="14">
        <f>C10*G10</f>
        <v/>
      </c>
      <c r="I10" s="12" t="inlineStr">
        <is>
          <t>Watch</t>
        </is>
      </c>
      <c r="J10" s="28" t="inlineStr"/>
      <c r="K10" s="29" t="n">
        <v>0</v>
      </c>
      <c r="L10" s="29" t="inlineStr"/>
      <c r="M10" s="12" t="inlineStr"/>
    </row>
    <row r="11" ht="18" customHeight="1">
      <c r="A11" s="12" t="inlineStr">
        <is>
          <t>2025-07-05</t>
        </is>
      </c>
      <c r="B11" s="24" t="inlineStr">
        <is>
          <t>PLTR</t>
        </is>
      </c>
      <c r="C11" s="25" t="n">
        <v>120</v>
      </c>
      <c r="D11" s="12">
        <f>C11</f>
        <v/>
      </c>
      <c r="E11" s="26">
        <f>C11-D11</f>
        <v/>
      </c>
      <c r="F11" s="27">
        <f>IFERROR((C11-D11)/D11,0)</f>
        <v/>
      </c>
      <c r="G11" s="28">
        <f>C11*1</f>
        <v/>
      </c>
      <c r="H11" s="14">
        <f>C11*G11</f>
        <v/>
      </c>
      <c r="I11" s="12" t="inlineStr">
        <is>
          <t>Watch</t>
        </is>
      </c>
      <c r="J11" s="28" t="inlineStr"/>
      <c r="K11" s="29" t="n">
        <v>0</v>
      </c>
      <c r="L11" s="29" t="inlineStr"/>
      <c r="M11" s="12" t="inlineStr"/>
    </row>
    <row r="12" ht="18" customHeight="1">
      <c r="A12" s="12" t="inlineStr">
        <is>
          <t>2025-07-05</t>
        </is>
      </c>
      <c r="B12" s="24" t="inlineStr">
        <is>
          <t>ARM</t>
        </is>
      </c>
      <c r="C12" s="25" t="n">
        <v>140</v>
      </c>
      <c r="D12" s="12">
        <f>C12</f>
        <v/>
      </c>
      <c r="E12" s="26">
        <f>C12-D12</f>
        <v/>
      </c>
      <c r="F12" s="27">
        <f>IFERROR((C12-D12)/D12,0)</f>
        <v/>
      </c>
      <c r="G12" s="28">
        <f>C12*1</f>
        <v/>
      </c>
      <c r="H12" s="14">
        <f>C12*G12</f>
        <v/>
      </c>
      <c r="I12" s="12" t="inlineStr">
        <is>
          <t>Watch</t>
        </is>
      </c>
      <c r="J12" s="28" t="inlineStr"/>
      <c r="K12" s="29" t="n">
        <v>0</v>
      </c>
      <c r="L12" s="29" t="inlineStr"/>
      <c r="M12" s="12" t="inlineStr"/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2" customWidth="1" min="4" max="4"/>
    <col width="8" customWidth="1" min="5" max="5"/>
    <col width="35" customWidth="1" min="6" max="6"/>
  </cols>
  <sheetData>
    <row r="1" ht="36" customHeight="1">
      <c r="A1" s="22" t="inlineStr">
        <is>
          <t>🌍  MACRO &amp; MARKET CONTEXT DASHBOARD</t>
        </is>
      </c>
    </row>
    <row r="2" ht="18" customHeight="1">
      <c r="A2" s="30" t="inlineStr">
        <is>
          <t xml:space="preserve">  Last updated: 2025-07-05  |  Source: Federal Reserve, BLS, Reuters, Market Data</t>
        </is>
      </c>
    </row>
    <row r="4" ht="22" customHeight="1">
      <c r="A4" s="9" t="inlineStr">
        <is>
          <t>💵  FEDERAL RESERVE &amp; RATES</t>
        </is>
      </c>
    </row>
    <row r="5" ht="22" customHeight="1">
      <c r="A5" s="31" t="inlineStr">
        <is>
          <t>Indicator</t>
        </is>
      </c>
      <c r="B5" s="31" t="inlineStr">
        <is>
          <t>Value</t>
        </is>
      </c>
      <c r="C5" s="31" t="inlineStr">
        <is>
          <t>Source / Date</t>
        </is>
      </c>
      <c r="D5" s="31" t="inlineStr">
        <is>
          <t>Notes</t>
        </is>
      </c>
    </row>
    <row r="6" ht="18" customHeight="1">
      <c r="A6" s="11" t="inlineStr">
        <is>
          <t>Fed Funds Rate (Upper)</t>
        </is>
      </c>
      <c r="B6" s="28" t="inlineStr">
        <is>
          <t>3.75%</t>
        </is>
      </c>
      <c r="C6" s="32" t="inlineStr">
        <is>
          <t>2025-07-30 FOMC</t>
        </is>
      </c>
      <c r="D6" s="12" t="inlineStr">
        <is>
          <t>Holding – unchanged for 5th consecutive meeting</t>
        </is>
      </c>
    </row>
    <row r="7" ht="18" customHeight="1">
      <c r="A7" s="11" t="inlineStr">
        <is>
          <t>Fed Funds Rate (Lower)</t>
        </is>
      </c>
      <c r="B7" s="28" t="inlineStr">
        <is>
          <t>3.50%</t>
        </is>
      </c>
      <c r="C7" s="32" t="inlineStr">
        <is>
          <t>2025-07-30 FOMC</t>
        </is>
      </c>
      <c r="D7" s="12" t="inlineStr">
        <is>
          <t>9-2 vote; 2 dissenters wanted cuts</t>
        </is>
      </c>
    </row>
    <row r="8" ht="18" customHeight="1">
      <c r="A8" s="11" t="inlineStr">
        <is>
          <t>CPI (June 2025)</t>
        </is>
      </c>
      <c r="B8" s="28" t="inlineStr">
        <is>
          <t>2.7%</t>
        </is>
      </c>
      <c r="C8" s="32" t="inlineStr">
        <is>
          <t>2025-07-10 BLS</t>
        </is>
      </c>
      <c r="D8" s="12" t="inlineStr">
        <is>
          <t>Above Fed target of 2%; goods inflation sticky</t>
        </is>
      </c>
    </row>
    <row r="9" ht="18" customHeight="1">
      <c r="A9" s="11" t="inlineStr">
        <is>
          <t>Trimmed-mean CPI</t>
        </is>
      </c>
      <c r="B9" s="28" t="inlineStr">
        <is>
          <t>3.2%</t>
        </is>
      </c>
      <c r="C9" s="32" t="inlineStr">
        <is>
          <t>2025-07-10 BLS</t>
        </is>
      </c>
      <c r="D9" s="12" t="inlineStr">
        <is>
          <t>Persistent underlying price pressure</t>
        </is>
      </c>
    </row>
    <row r="10" ht="18" customHeight="1">
      <c r="A10" s="11" t="inlineStr">
        <is>
          <t>Q2 GDP Growth</t>
        </is>
      </c>
      <c r="B10" s="28" t="inlineStr">
        <is>
          <t>3.0% SAAR</t>
        </is>
      </c>
      <c r="C10" s="32" t="inlineStr">
        <is>
          <t>2025-07-30 BEA</t>
        </is>
      </c>
      <c r="D10" s="12" t="inlineStr">
        <is>
          <t>Strong beat vs 2.3% estimate; reversing Q1 -0.5% decline</t>
        </is>
      </c>
    </row>
    <row r="11" ht="18" customHeight="1">
      <c r="A11" s="11" t="inlineStr">
        <is>
          <t>Jobs (July NFP)</t>
        </is>
      </c>
      <c r="B11" s="28" t="inlineStr">
        <is>
          <t>35k avg/3mo</t>
        </is>
      </c>
      <c r="C11" s="32" t="inlineStr">
        <is>
          <t>2025-08-01 BLS</t>
        </is>
      </c>
      <c r="D11" s="12" t="inlineStr">
        <is>
          <t>Sharp drop from 125k avg; unemployment 4.2%</t>
        </is>
      </c>
    </row>
    <row r="12" ht="18" customHeight="1">
      <c r="A12" s="11" t="inlineStr">
        <is>
          <t>30yr Mortgage Rate</t>
        </is>
      </c>
      <c r="B12" s="28" t="inlineStr">
        <is>
          <t>~6.78%</t>
        </is>
      </c>
      <c r="C12" s="32" t="inlineStr">
        <is>
          <t>2025-07-15</t>
        </is>
      </c>
      <c r="D12" s="12" t="inlineStr">
        <is>
          <t>2nd consecutive weekly increase</t>
        </is>
      </c>
    </row>
    <row r="13" ht="18" customHeight="1">
      <c r="A13" s="11" t="inlineStr">
        <is>
          <t>Market Pricing (2025 cuts)</t>
        </is>
      </c>
      <c r="B13" s="28" t="inlineStr">
        <is>
          <t>33.7% hike / 66.3% hold</t>
        </is>
      </c>
      <c r="C13" s="32" t="inlineStr">
        <is>
          <t>CME FedWatch</t>
        </is>
      </c>
      <c r="D13" s="12" t="inlineStr">
        <is>
          <t>Back to pricing cuts after weak jobs report</t>
        </is>
      </c>
    </row>
    <row r="16" ht="22" customHeight="1">
      <c r="A16" s="9" t="inlineStr">
        <is>
          <t>📈  MARKET INDICES  (July 2025)</t>
        </is>
      </c>
    </row>
    <row r="17" ht="22" customHeight="1">
      <c r="A17" s="31" t="inlineStr">
        <is>
          <t>Index</t>
        </is>
      </c>
      <c r="B17" s="31" t="inlineStr">
        <is>
          <t>July Return</t>
        </is>
      </c>
      <c r="C17" s="31" t="inlineStr">
        <is>
          <t>YTD Return</t>
        </is>
      </c>
      <c r="D17" s="31" t="inlineStr">
        <is>
          <t>52-Wk High</t>
        </is>
      </c>
      <c r="E17" s="31" t="inlineStr">
        <is>
          <t>52-Wk Low</t>
        </is>
      </c>
      <c r="F17" s="31" t="inlineStr">
        <is>
          <t>Status</t>
        </is>
      </c>
    </row>
    <row r="18" ht="18" customHeight="1">
      <c r="A18" s="11" t="inlineStr">
        <is>
          <t>S&amp;P 500</t>
        </is>
      </c>
      <c r="B18" s="12" t="inlineStr">
        <is>
          <t>+9.55%</t>
        </is>
      </c>
      <c r="C18" s="12" t="inlineStr">
        <is>
          <t>+14%</t>
        </is>
      </c>
      <c r="D18" s="12" t="inlineStr">
        <is>
          <t>~6,100</t>
        </is>
      </c>
      <c r="E18" s="12" t="inlineStr">
        <is>
          <t>~4,800</t>
        </is>
      </c>
      <c r="F18" s="12" t="inlineStr">
        <is>
          <t>New highs</t>
        </is>
      </c>
    </row>
    <row r="19" ht="18" customHeight="1">
      <c r="A19" s="11" t="inlineStr">
        <is>
          <t>Nasdaq</t>
        </is>
      </c>
      <c r="B19" s="12" t="inlineStr">
        <is>
          <t>+12.79%</t>
        </is>
      </c>
      <c r="C19" s="12" t="inlineStr">
        <is>
          <t>+22%</t>
        </is>
      </c>
      <c r="D19" s="12" t="inlineStr">
        <is>
          <t>~20,000</t>
        </is>
      </c>
      <c r="E19" s="12" t="inlineStr">
        <is>
          <t>~15,000</t>
        </is>
      </c>
      <c r="F19" s="12" t="inlineStr">
        <is>
          <t>Leading AI names</t>
        </is>
      </c>
    </row>
    <row r="20" ht="18" customHeight="1">
      <c r="A20" s="11" t="inlineStr">
        <is>
          <t>Dow Jones</t>
        </is>
      </c>
      <c r="B20" s="12" t="inlineStr">
        <is>
          <t>+8.85%</t>
        </is>
      </c>
      <c r="C20" s="12" t="inlineStr">
        <is>
          <t>+8%</t>
        </is>
      </c>
      <c r="D20" s="12" t="inlineStr">
        <is>
          <t>~44,000</t>
        </is>
      </c>
      <c r="E20" s="12" t="inlineStr">
        <is>
          <t>~37,000</t>
        </is>
      </c>
      <c r="F20" s="12" t="inlineStr">
        <is>
          <t>Lagging</t>
        </is>
      </c>
    </row>
    <row r="21" ht="18" customHeight="1">
      <c r="A21" s="11" t="inlineStr">
        <is>
          <t>NVDA</t>
        </is>
      </c>
      <c r="B21" s="12" t="inlineStr">
        <is>
          <t>~+4%*</t>
        </is>
      </c>
      <c r="C21" s="12" t="inlineStr">
        <is>
          <t>~+140%</t>
        </is>
      </c>
      <c r="D21" s="12" t="inlineStr">
        <is>
          <t>~175</t>
        </is>
      </c>
      <c r="E21" s="12" t="inlineStr">
        <is>
          <t>~90</t>
        </is>
      </c>
      <c r="F21" s="12" t="inlineStr">
        <is>
          <t>China H20 export relief</t>
        </is>
      </c>
    </row>
    <row r="22" ht="18" customHeight="1">
      <c r="A22" s="11" t="inlineStr">
        <is>
          <t>AMD</t>
        </is>
      </c>
      <c r="B22" s="12" t="inlineStr">
        <is>
          <t>~+7%*</t>
        </is>
      </c>
      <c r="C22" s="12" t="inlineStr">
        <is>
          <t>~+60%*</t>
        </is>
      </c>
      <c r="D22" s="12" t="inlineStr">
        <is>
          <t>~$160</t>
        </is>
      </c>
      <c r="E22" s="12" t="inlineStr">
        <is>
          <t>~$90</t>
        </is>
      </c>
      <c r="F22" s="12" t="inlineStr">
        <is>
          <t>Export reprieve + MI350</t>
        </is>
      </c>
    </row>
    <row r="23" ht="18" customHeight="1">
      <c r="A23" s="11" t="inlineStr">
        <is>
          <t>GOOGL</t>
        </is>
      </c>
      <c r="B23" s="12" t="inlineStr">
        <is>
          <t>-5.2%*</t>
        </is>
      </c>
      <c r="C23" s="12" t="inlineStr">
        <is>
          <t>-6.8%*</t>
        </is>
      </c>
      <c r="D23" s="12" t="inlineStr">
        <is>
          <t>~$200</t>
        </is>
      </c>
      <c r="E23" s="12" t="inlineStr">
        <is>
          <t>~$160</t>
        </is>
      </c>
      <c r="F23" s="12" t="inlineStr">
        <is>
          <t>Antitrust trial risk</t>
        </is>
      </c>
    </row>
    <row r="24" ht="18" customHeight="1">
      <c r="A24" s="11" t="inlineStr">
        <is>
          <t>MSFT</t>
        </is>
      </c>
      <c r="B24" s="12" t="inlineStr">
        <is>
          <t>~+3%*</t>
        </is>
      </c>
      <c r="C24" s="12" t="inlineStr">
        <is>
          <t>+15%*</t>
        </is>
      </c>
      <c r="D24" s="12" t="inlineStr">
        <is>
          <t>~$530</t>
        </is>
      </c>
      <c r="E24" s="12" t="inlineStr">
        <is>
          <t>~$390</t>
        </is>
      </c>
      <c r="F24" s="12" t="inlineStr">
        <is>
          <t>Azure AI momentum</t>
        </is>
      </c>
    </row>
    <row r="27" ht="22" customHeight="1">
      <c r="A27" s="9" t="inlineStr">
        <is>
          <t>📆  UPCOMING CATALYSTS</t>
        </is>
      </c>
    </row>
    <row r="28" ht="22" customHeight="1">
      <c r="A28" s="31" t="inlineStr">
        <is>
          <t>Date</t>
        </is>
      </c>
      <c r="B28" s="31" t="inlineStr">
        <is>
          <t>Event</t>
        </is>
      </c>
      <c r="C28" s="31" t="inlineStr">
        <is>
          <t>Stocks Affected</t>
        </is>
      </c>
      <c r="D28" s="31" t="inlineStr">
        <is>
          <t>Expected Impact</t>
        </is>
      </c>
      <c r="E28" s="31" t="inlineStr">
        <is>
          <t>Risk</t>
        </is>
      </c>
      <c r="F28" s="31" t="inlineStr">
        <is>
          <t>Notes</t>
        </is>
      </c>
    </row>
    <row r="29" ht="18" customHeight="1">
      <c r="A29" s="11" t="inlineStr">
        <is>
          <t>Aug 2025</t>
        </is>
      </c>
      <c r="B29" s="12" t="inlineStr">
        <is>
          <t>AMD Earnings</t>
        </is>
      </c>
      <c r="C29" s="12" t="inlineStr">
        <is>
          <t>AMD</t>
        </is>
      </c>
      <c r="D29" s="33" t="inlineStr">
        <is>
          <t>MI350 revenue details</t>
        </is>
      </c>
      <c r="E29" s="12" t="inlineStr">
        <is>
          <t>High</t>
        </is>
      </c>
      <c r="F29" s="12" t="inlineStr">
        <is>
          <t>Key AI GPU demand signal</t>
        </is>
      </c>
    </row>
    <row r="30" ht="18" customHeight="1">
      <c r="A30" s="11" t="inlineStr">
        <is>
          <t>Aug 2025</t>
        </is>
      </c>
      <c r="B30" s="12" t="inlineStr">
        <is>
          <t>NVDA Earnings</t>
        </is>
      </c>
      <c r="C30" s="12" t="inlineStr">
        <is>
          <t>NVDA</t>
        </is>
      </c>
      <c r="D30" s="33" t="inlineStr">
        <is>
          <t>Blackwell revenue guidance</t>
        </is>
      </c>
      <c r="E30" s="12" t="inlineStr">
        <is>
          <t>High</t>
        </is>
      </c>
      <c r="F30" s="12" t="inlineStr">
        <is>
          <t>Most-watched of the season</t>
        </is>
      </c>
    </row>
    <row r="31" ht="18" customHeight="1">
      <c r="A31" s="11" t="inlineStr">
        <is>
          <t>Aug 2025</t>
        </is>
      </c>
      <c r="B31" s="12" t="inlineStr">
        <is>
          <t>Fed Minutes</t>
        </is>
      </c>
      <c r="C31" s="12" t="inlineStr">
        <is>
          <t>ALL</t>
        </is>
      </c>
      <c r="D31" s="33" t="inlineStr">
        <is>
          <t>Rate cut signals</t>
        </is>
      </c>
      <c r="E31" s="12" t="inlineStr">
        <is>
          <t>Medium</t>
        </is>
      </c>
      <c r="F31" s="12" t="inlineStr">
        <is>
          <t>July NFP impact on Sep cut odds</t>
        </is>
      </c>
    </row>
    <row r="32" ht="18" customHeight="1">
      <c r="A32" s="11" t="inlineStr">
        <is>
          <t>Sep 2025</t>
        </is>
      </c>
      <c r="B32" s="12" t="inlineStr">
        <is>
          <t>FOMC Meeting</t>
        </is>
      </c>
      <c r="C32" s="12" t="inlineStr">
        <is>
          <t>ALL</t>
        </is>
      </c>
      <c r="D32" s="33" t="inlineStr">
        <is>
          <t>Potential first cut?</t>
        </is>
      </c>
      <c r="E32" s="12" t="inlineStr">
        <is>
          <t>High</t>
        </is>
      </c>
      <c r="F32" s="12" t="inlineStr">
        <is>
          <t>Markets pricing 50/50</t>
        </is>
      </c>
    </row>
    <row r="33" ht="18" customHeight="1">
      <c r="A33" s="11" t="inlineStr">
        <is>
          <t>Q3 2025</t>
        </is>
      </c>
      <c r="B33" s="12" t="inlineStr">
        <is>
          <t>Apple iPhone AI launch</t>
        </is>
      </c>
      <c r="C33" s="12" t="inlineStr">
        <is>
          <t>AAPL</t>
        </is>
      </c>
      <c r="D33" s="33" t="inlineStr">
        <is>
          <t>AI features drive upgrade cycle</t>
        </is>
      </c>
      <c r="E33" s="12" t="inlineStr">
        <is>
          <t>Medium</t>
        </is>
      </c>
      <c r="F33" s="12" t="inlineStr">
        <is>
          <t>Apple Intelligence rollout</t>
        </is>
      </c>
    </row>
    <row r="34" ht="18" customHeight="1">
      <c r="A34" s="11" t="inlineStr">
        <is>
          <t>Ongoing</t>
        </is>
      </c>
      <c r="B34" s="12" t="inlineStr">
        <is>
          <t>US-China trade talks</t>
        </is>
      </c>
      <c r="C34" s="12" t="inlineStr">
        <is>
          <t>NVDA, AMD</t>
        </is>
      </c>
      <c r="D34" s="33" t="inlineStr">
        <is>
          <t>H20/MI308 export licenses</t>
        </is>
      </c>
      <c r="E34" s="12" t="inlineStr">
        <is>
          <t>High</t>
        </is>
      </c>
      <c r="F34" s="12" t="inlineStr">
        <is>
          <t>Partial reprieve already granted</t>
        </is>
      </c>
    </row>
    <row r="35" ht="18" customHeight="1">
      <c r="A35" s="11" t="inlineStr">
        <is>
          <t>Ongoing</t>
        </is>
      </c>
      <c r="B35" s="12" t="inlineStr">
        <is>
          <t>EU AI Act enforcement</t>
        </is>
      </c>
      <c r="C35" s="12" t="inlineStr">
        <is>
          <t>MSFT, GOOGL, META</t>
        </is>
      </c>
      <c r="D35" s="33" t="inlineStr">
        <is>
          <t>Compliance costs</t>
        </is>
      </c>
      <c r="E35" s="12" t="inlineStr">
        <is>
          <t>Low</t>
        </is>
      </c>
      <c r="F35" s="12" t="inlineStr">
        <is>
          <t>Gradual implementation</t>
        </is>
      </c>
    </row>
  </sheetData>
  <mergeCells count="5">
    <mergeCell ref="A2:F2"/>
    <mergeCell ref="A16:F16"/>
    <mergeCell ref="A1:F1"/>
    <mergeCell ref="A27:F27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4" customWidth="1" min="4" max="4"/>
    <col width="13" customWidth="1" min="5" max="5"/>
    <col width="13" customWidth="1" min="6" max="6"/>
    <col width="11" customWidth="1" min="7" max="7"/>
    <col width="42" customWidth="1" min="8" max="8"/>
  </cols>
  <sheetData>
    <row r="1" ht="36" customHeight="1">
      <c r="A1" s="22" t="inlineStr">
        <is>
          <t>🎯  ANALYST RATINGS &amp; PRICE TARGETS</t>
        </is>
      </c>
    </row>
    <row r="2" ht="18" customHeight="1">
      <c r="A2" s="30" t="inlineStr">
        <is>
          <t xml:space="preserve">  Source: Zacks, Bloomberg, Reuters, TradeStation | Updated: 2025-07-05</t>
        </is>
      </c>
    </row>
    <row r="3" ht="22" customHeight="1">
      <c r="A3" s="34" t="inlineStr">
        <is>
          <t>Ticker</t>
        </is>
      </c>
      <c r="B3" s="34" t="inlineStr">
        <is>
          <t>Analyst Firm</t>
        </is>
      </c>
      <c r="C3" s="34" t="inlineStr">
        <is>
          <t>Date</t>
        </is>
      </c>
      <c r="D3" s="34" t="inlineStr">
        <is>
          <t>Rating</t>
        </is>
      </c>
      <c r="E3" s="34" t="inlineStr">
        <is>
          <t>Target Price</t>
        </is>
      </c>
      <c r="F3" s="34" t="inlineStr">
        <is>
          <t>Curr. Price</t>
        </is>
      </c>
      <c r="G3" s="34" t="inlineStr">
        <is>
          <t>Upside (%)</t>
        </is>
      </c>
      <c r="H3" s="34" t="inlineStr">
        <is>
          <t>Notes</t>
        </is>
      </c>
    </row>
    <row r="4" ht="18" customHeight="1">
      <c r="A4" s="11" t="inlineStr">
        <is>
          <t>NVDA</t>
        </is>
      </c>
      <c r="B4" s="12" t="inlineStr">
        <is>
          <t>Multiple Firms</t>
        </is>
      </c>
      <c r="C4" s="12" t="inlineStr">
        <is>
          <t>Jul-25</t>
        </is>
      </c>
      <c r="D4" s="35" t="inlineStr">
        <is>
          <t>Strong Buy</t>
        </is>
      </c>
      <c r="E4" s="12" t="inlineStr">
        <is>
          <t>$180–$200</t>
        </is>
      </c>
      <c r="F4" s="12" t="inlineStr">
        <is>
          <t>$140</t>
        </is>
      </c>
      <c r="G4" s="12" t="inlineStr">
        <is>
          <t>+29%–+43%</t>
        </is>
      </c>
      <c r="H4" s="12" t="inlineStr">
        <is>
          <t>China H20 export relief; Blackwell ramp</t>
        </is>
      </c>
    </row>
    <row r="5" ht="18" customHeight="1">
      <c r="A5" s="11" t="inlineStr">
        <is>
          <t>AMD</t>
        </is>
      </c>
      <c r="B5" s="12" t="inlineStr">
        <is>
          <t>HSBC</t>
        </is>
      </c>
      <c r="C5" s="12" t="inlineStr">
        <is>
          <t>Jul-10</t>
        </is>
      </c>
      <c r="D5" s="35" t="inlineStr">
        <is>
          <t>Buy</t>
        </is>
      </c>
      <c r="E5" s="12" t="inlineStr">
        <is>
          <t>$200</t>
        </is>
      </c>
      <c r="F5" s="12" t="inlineStr">
        <is>
          <t>$130</t>
        </is>
      </c>
      <c r="G5" s="12" t="inlineStr">
        <is>
          <t>+54%</t>
        </is>
      </c>
      <c r="H5" s="12" t="inlineStr">
        <is>
          <t>MI350 credible NVDA challenger; MI400 2026</t>
        </is>
      </c>
    </row>
    <row r="6" ht="18" customHeight="1">
      <c r="A6" s="11" t="inlineStr">
        <is>
          <t>AMD</t>
        </is>
      </c>
      <c r="B6" s="12" t="inlineStr">
        <is>
          <t>Wells Fargo</t>
        </is>
      </c>
      <c r="C6" s="12" t="inlineStr">
        <is>
          <t>Jul-16</t>
        </is>
      </c>
      <c r="D6" s="35" t="inlineStr">
        <is>
          <t>Buy</t>
        </is>
      </c>
      <c r="E6" s="12" t="inlineStr">
        <is>
          <t>$185</t>
        </is>
      </c>
      <c r="F6" s="12" t="inlineStr">
        <is>
          <t>$130</t>
        </is>
      </c>
      <c r="G6" s="12" t="inlineStr">
        <is>
          <t>+42%</t>
        </is>
      </c>
      <c r="H6" s="12" t="inlineStr">
        <is>
          <t>Data-center GPU sales stronger than expected</t>
        </is>
      </c>
    </row>
    <row r="7" ht="18" customHeight="1">
      <c r="A7" s="11" t="inlineStr">
        <is>
          <t>AMD</t>
        </is>
      </c>
      <c r="B7" s="12" t="inlineStr">
        <is>
          <t>Bank of America</t>
        </is>
      </c>
      <c r="C7" s="12" t="inlineStr">
        <is>
          <t>Jul-16</t>
        </is>
      </c>
      <c r="D7" s="35" t="inlineStr">
        <is>
          <t>Buy</t>
        </is>
      </c>
      <c r="E7" s="12" t="inlineStr">
        <is>
          <t>$175</t>
        </is>
      </c>
      <c r="F7" s="12" t="inlineStr">
        <is>
          <t>$130</t>
        </is>
      </c>
      <c r="G7" s="12" t="inlineStr">
        <is>
          <t>+35%</t>
        </is>
      </c>
      <c r="H7" s="12" t="inlineStr">
        <is>
          <t>$400–600M/quarter AI GPU revenue potential</t>
        </is>
      </c>
    </row>
    <row r="8" ht="18" customHeight="1">
      <c r="A8" s="11" t="inlineStr">
        <is>
          <t>GOOGL</t>
        </is>
      </c>
      <c r="B8" s="12" t="inlineStr">
        <is>
          <t>Morgan Stanley</t>
        </is>
      </c>
      <c r="C8" s="12" t="inlineStr">
        <is>
          <t>Jul-25</t>
        </is>
      </c>
      <c r="D8" s="35" t="inlineStr">
        <is>
          <t>Overweight</t>
        </is>
      </c>
      <c r="E8" s="12" t="inlineStr">
        <is>
          <t>$210</t>
        </is>
      </c>
      <c r="F8" s="12" t="inlineStr">
        <is>
          <t>$185</t>
        </is>
      </c>
      <c r="G8" s="12" t="inlineStr">
        <is>
          <t>+14%</t>
        </is>
      </c>
      <c r="H8" s="12" t="inlineStr">
        <is>
          <t>Cloud +28% YoY; AI Search monetization</t>
        </is>
      </c>
    </row>
    <row r="9" ht="18" customHeight="1">
      <c r="A9" s="11" t="inlineStr">
        <is>
          <t>GOOGL</t>
        </is>
      </c>
      <c r="B9" s="12" t="inlineStr">
        <is>
          <t>Bernstein</t>
        </is>
      </c>
      <c r="C9" s="12" t="inlineStr">
        <is>
          <t>Jul-25</t>
        </is>
      </c>
      <c r="D9" s="35" t="inlineStr">
        <is>
          <t>Market Perform</t>
        </is>
      </c>
      <c r="E9" s="12" t="inlineStr">
        <is>
          <t>$195</t>
        </is>
      </c>
      <c r="F9" s="12" t="inlineStr">
        <is>
          <t>$185</t>
        </is>
      </c>
      <c r="G9" s="12" t="inlineStr">
        <is>
          <t>+5%</t>
        </is>
      </c>
      <c r="H9" s="12" t="inlineStr">
        <is>
          <t>Antitrust risk limits upside near-term</t>
        </is>
      </c>
    </row>
    <row r="10" ht="18" customHeight="1">
      <c r="A10" s="11" t="inlineStr">
        <is>
          <t>MSFT</t>
        </is>
      </c>
      <c r="B10" s="12" t="inlineStr">
        <is>
          <t>Zacks</t>
        </is>
      </c>
      <c r="C10" s="12" t="inlineStr">
        <is>
          <t>Jul-25</t>
        </is>
      </c>
      <c r="D10" s="35" t="inlineStr">
        <is>
          <t>Hold</t>
        </is>
      </c>
      <c r="E10" s="12" t="inlineStr">
        <is>
          <t>$500</t>
        </is>
      </c>
      <c r="F10" s="12" t="inlineStr">
        <is>
          <t>$410</t>
        </is>
      </c>
      <c r="G10" s="12" t="inlineStr">
        <is>
          <t>+22%</t>
        </is>
      </c>
      <c r="H10" s="12" t="inlineStr">
        <is>
          <t>Azure AI momentum but valuation stretched</t>
        </is>
      </c>
    </row>
    <row r="11" ht="18" customHeight="1">
      <c r="A11" s="11" t="inlineStr">
        <is>
          <t>META</t>
        </is>
      </c>
      <c r="B11" s="12" t="inlineStr">
        <is>
          <t>多个机构</t>
        </is>
      </c>
      <c r="C11" s="12" t="inlineStr">
        <is>
          <t>Jul-25</t>
        </is>
      </c>
      <c r="D11" s="35" t="inlineStr">
        <is>
          <t>Buy</t>
        </is>
      </c>
      <c r="E11" s="12" t="inlineStr">
        <is>
          <t>$650</t>
        </is>
      </c>
      <c r="F11" s="12" t="inlineStr">
        <is>
          <t>$520</t>
        </is>
      </c>
      <c r="G11" s="12" t="inlineStr">
        <is>
          <t>+25%</t>
        </is>
      </c>
      <c r="H11" s="12" t="inlineStr">
        <is>
          <t>AI ad targeting; Llama ecosystem expansion</t>
        </is>
      </c>
    </row>
    <row r="12" ht="18" customHeight="1">
      <c r="A12" s="11" t="inlineStr">
        <is>
          <t>AMZN</t>
        </is>
      </c>
      <c r="B12" s="12" t="inlineStr">
        <is>
          <t>TradeStation</t>
        </is>
      </c>
      <c r="C12" s="12" t="inlineStr">
        <is>
          <t>Jul-25</t>
        </is>
      </c>
      <c r="D12" s="35" t="inlineStr">
        <is>
          <t>Buy</t>
        </is>
      </c>
      <c r="E12" s="12" t="inlineStr">
        <is>
          <t>$240</t>
        </is>
      </c>
      <c r="F12" s="12" t="inlineStr">
        <is>
          <t>$190</t>
        </is>
      </c>
      <c r="G12" s="12" t="inlineStr">
        <is>
          <t>+26%</t>
        </is>
      </c>
      <c r="H12" s="12" t="inlineStr">
        <is>
          <t>AWS AI services; 广告 revenue acceleration</t>
        </is>
      </c>
    </row>
    <row r="13" ht="18" customHeight="1">
      <c r="A13" s="11" t="inlineStr">
        <is>
          <t>PLTR</t>
        </is>
      </c>
      <c r="B13" s="12" t="inlineStr">
        <is>
          <t>Multiple</t>
        </is>
      </c>
      <c r="C13" s="12" t="inlineStr">
        <is>
          <t>Jul-25</t>
        </is>
      </c>
      <c r="D13" s="35" t="inlineStr">
        <is>
          <t>Speculative Buy</t>
        </is>
      </c>
      <c r="E13" s="12" t="inlineStr">
        <is>
          <t>$160</t>
        </is>
      </c>
      <c r="F13" s="12" t="inlineStr">
        <is>
          <t>$120</t>
        </is>
      </c>
      <c r="G13" s="12" t="inlineStr">
        <is>
          <t>+33%</t>
        </is>
      </c>
      <c r="H13" s="12" t="inlineStr">
        <is>
          <t>AIP platform; DoD contracts momentum</t>
        </is>
      </c>
    </row>
    <row r="14" ht="18" customHeight="1">
      <c r="A14" s="11" t="inlineStr">
        <is>
          <t>ARM</t>
        </is>
      </c>
      <c r="B14" s="12" t="inlineStr">
        <is>
          <t>多个机构</t>
        </is>
      </c>
      <c r="C14" s="12" t="inlineStr">
        <is>
          <t>Jul-25</t>
        </is>
      </c>
      <c r="D14" s="35" t="inlineStr">
        <is>
          <t>Hold</t>
        </is>
      </c>
      <c r="E14" s="12" t="inlineStr">
        <is>
          <t>$180</t>
        </is>
      </c>
      <c r="F14" s="12" t="inlineStr">
        <is>
          <t>$140</t>
        </is>
      </c>
      <c r="G14" s="12" t="inlineStr">
        <is>
          <t>+29%</t>
        </is>
      </c>
      <c r="H14" s="12" t="inlineStr">
        <is>
          <t>Device AI trend but high valuation risk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30" customWidth="1" min="4" max="4"/>
  </cols>
  <sheetData>
    <row r="1" ht="36" customHeight="1">
      <c r="A1" s="22" t="inlineStr">
        <is>
          <t>📚  PROJECT X – INVESTMENT STRATEGY &amp; LEARNING GUIDE</t>
        </is>
      </c>
    </row>
    <row r="3" ht="22" customHeight="1">
      <c r="A3" s="36" t="inlineStr">
        <is>
          <t>🎯 OBJECTIVE</t>
        </is>
      </c>
    </row>
    <row r="4" ht="80" customHeight="1">
      <c r="A4" s="37" t="inlineStr">
        <is>
          <t>Learn fundamental &amp; technical analysis through hands-on simulated trading on AI/Tech stocks. Build intuition without risking real capital.</t>
        </is>
      </c>
    </row>
    <row r="5" ht="22" customHeight="1">
      <c r="A5" s="36" t="inlineStr">
        <is>
          <t>📖 CORE PRINCIPLES</t>
        </is>
      </c>
    </row>
    <row r="6" ht="80" customHeight="1">
      <c r="A6" s="37" t="inlineStr">
        <is>
          <t>1. Never invest money you can't afford to lose (even simulated – treat it seriously)
2. Always document your thesis before entering a position
3. Review weekly – what worked, what didn't, why
4. Diversify across AI value chain: Hardware (NVDA/AMD) + Software (MSFT/GOOGL) + Application (META/PLTR)</t>
        </is>
      </c>
    </row>
    <row r="7" ht="22" customHeight="1">
      <c r="A7" s="36" t="inlineStr">
        <is>
          <t>📊 ANALYSIS FRAMEWORK</t>
        </is>
      </c>
    </row>
    <row r="8" ht="80" customHeight="1">
      <c r="A8" s="37" t="inlineStr">
        <is>
          <t>MACRO → Which macro factors drive the sector right now?
FUNDAMENTAL → Revenue growth, margins, guidance
TECHNICAL → Support/resistance, trend, volume
SENTIMENT → Analyst tone, positioning, news flow
RISK/REWARD → Does the upside justify the downside?</t>
        </is>
      </c>
    </row>
    <row r="9" ht="22" customHeight="1">
      <c r="A9" s="36" t="inlineStr">
        <is>
          <t>⚠️ RED FLAGS TO WATCH</t>
        </is>
      </c>
    </row>
    <row r="10" ht="80" customHeight="1">
      <c r="A10" s="37" t="inlineStr">
        <is>
          <t>- Management changing guidance downward
- Unexpected chip export restrictions
- AI monetization slower than expected
- Competition eroding moat (e.g., custom silicon by GOOGL/AMZN)
- Regulatory / antitrust actions</t>
        </is>
      </c>
    </row>
    <row r="11" ht="22" customHeight="1">
      <c r="A11" s="36" t="inlineStr">
        <is>
          <t>🟢 GREEN FLAGS TO WATCH</t>
        </is>
      </c>
    </row>
    <row r="12" ht="80" customHeight="1">
      <c r="A12" s="37" t="inlineStr">
        <is>
          <t>+ Beats on AI revenue metrics
+ New customer wins in AI infrastructure
+ Positive AI policy environment
+ Partnerships expanding AI ecosystem
+ Expanding margins from AI cost savings</t>
        </is>
      </c>
    </row>
    <row r="13" ht="22" customHeight="1">
      <c r="A13" s="36" t="inlineStr">
        <is>
          <t>📋 DAILY ROUTINE</t>
        </is>
      </c>
    </row>
    <row r="14" ht="80" customHeight="1">
      <c r="A14" s="37" t="inlineStr">
        <is>
          <t>1. Check overnight macro news (Fed speakers, economic data)
2. Review pre-market futures and sector sentiment
3. Open positions – any news catalyst today?
4. Check earnings calendar for this week
5. End of day: log prices, update tracker, review thesis</t>
        </is>
      </c>
    </row>
    <row r="15" ht="22" customHeight="1">
      <c r="A15" s="36" t="inlineStr">
        <is>
          <t>📈 POSITION SIZING</t>
        </is>
      </c>
    </row>
    <row r="16" ht="80" customHeight="1">
      <c r="A16" s="37" t="inlineStr">
        <is>
          <t>No single stock &gt; 25% of portfolio
No single sector &gt; 60% of portfolio
Keep 10–20% cash dry powder for opportunities
Use stop-losses if implementing real trading rules</t>
        </is>
      </c>
    </row>
  </sheetData>
  <mergeCells count="15">
    <mergeCell ref="A1:D1"/>
    <mergeCell ref="A5:D5"/>
    <mergeCell ref="A9:D9"/>
    <mergeCell ref="A8:D8"/>
    <mergeCell ref="A6:D6"/>
    <mergeCell ref="A12:D12"/>
    <mergeCell ref="A4:D4"/>
    <mergeCell ref="A3:D3"/>
    <mergeCell ref="A15:D15"/>
    <mergeCell ref="A7:D7"/>
    <mergeCell ref="A16:D16"/>
    <mergeCell ref="A11:D11"/>
    <mergeCell ref="A10:D10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2026-07-04T17:17:12Z</dcterms:created>
  <dcterms:modified xsi:type="dcterms:W3CDTF">2026-07-04T20:04:52Z</dcterms:modified>
</cp:coreProperties>
</file>